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waveenergycorp-my.sharepoint.com/personal/rashmi_brackenbury_enwave_com/Documents/"/>
    </mc:Choice>
  </mc:AlternateContent>
  <xr:revisionPtr revIDLastSave="4" documentId="8_{1205547D-D192-4FC2-B893-C6A195D79D1A}" xr6:coauthVersionLast="47" xr6:coauthVersionMax="47" xr10:uidLastSave="{89A7AE38-1084-45F1-8B11-ADCE450D762E}"/>
  <bookViews>
    <workbookView xWindow="-120" yWindow="-16320" windowWidth="29040" windowHeight="15840" xr2:uid="{AC0828A5-18C5-478E-B9E7-38C244A21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39" i="1"/>
  <c r="B40" i="1"/>
  <c r="B34" i="1"/>
  <c r="B33" i="1"/>
  <c r="B32" i="1"/>
  <c r="B42" i="1" l="1"/>
</calcChain>
</file>

<file path=xl/sharedStrings.xml><?xml version="1.0" encoding="utf-8"?>
<sst xmlns="http://schemas.openxmlformats.org/spreadsheetml/2006/main" count="63" uniqueCount="50">
  <si>
    <t>3.1 Cooling Energy Analysis</t>
  </si>
  <si>
    <t>Cooling Information</t>
  </si>
  <si>
    <t>Connection Type</t>
  </si>
  <si>
    <t>Firm</t>
  </si>
  <si>
    <t>Consider all areas under 1 contract</t>
  </si>
  <si>
    <t>Deal Term</t>
  </si>
  <si>
    <t>30 years</t>
  </si>
  <si>
    <t>Building Construction Start</t>
  </si>
  <si>
    <t>Enwave Construction Start</t>
  </si>
  <si>
    <t>First Year Occuancy</t>
  </si>
  <si>
    <t>Occupancy Ramp Up</t>
  </si>
  <si>
    <t>Enwave Returns</t>
  </si>
  <si>
    <t>tons</t>
  </si>
  <si>
    <t>Cooling Consumption</t>
  </si>
  <si>
    <t>Ton-hrs</t>
  </si>
  <si>
    <t>Existing site - contracted</t>
  </si>
  <si>
    <t>Total - Cooling Analysis</t>
  </si>
  <si>
    <t>Firm Cooling Capacity - Total</t>
  </si>
  <si>
    <t>As confirmed by Continual/ KingSett</t>
  </si>
  <si>
    <t>Expected Peak Cooling Capacity - Total</t>
  </si>
  <si>
    <t>Expected Peak Cooling Capacity w/ Sys. Div. - Total</t>
  </si>
  <si>
    <t>Cooling Consumption - Total</t>
  </si>
  <si>
    <t>Cooling FLHs - Total</t>
  </si>
  <si>
    <t>FLH</t>
  </si>
  <si>
    <t>Save On Energy Incentive - Retrofits Only</t>
  </si>
  <si>
    <t>Avoided Plant Efficiency</t>
  </si>
  <si>
    <t>kW/ton</t>
  </si>
  <si>
    <t>Enwave Cooling Electrical Efficiency</t>
  </si>
  <si>
    <t>From 2022 EPL Report (system efficiency)</t>
  </si>
  <si>
    <t>Cooling Peak</t>
  </si>
  <si>
    <t>Demand Incentive Rate</t>
  </si>
  <si>
    <t>$/kW</t>
  </si>
  <si>
    <t>https://saveonenergy.ca/en/News-and-Updates/May-2023-Retrofit-program-update</t>
  </si>
  <si>
    <t>Consumption Incentive Rate</t>
  </si>
  <si>
    <t>$/kWh</t>
  </si>
  <si>
    <t>Incentive (Demand-Based) $</t>
  </si>
  <si>
    <t>Incentive (Consumption-Based) $</t>
  </si>
  <si>
    <t>Selected Incentive (Greater of the two) $</t>
  </si>
  <si>
    <t>Estimate of future chiller efficiency</t>
  </si>
  <si>
    <t>from 2019 hourly cooling data</t>
  </si>
  <si>
    <t>Tons</t>
  </si>
  <si>
    <t>Thrs</t>
  </si>
  <si>
    <t>$</t>
  </si>
  <si>
    <t>Cooling Peak savings</t>
  </si>
  <si>
    <t>Cooling Consumption savings</t>
  </si>
  <si>
    <t>kW</t>
  </si>
  <si>
    <t>kWh savings</t>
  </si>
  <si>
    <t>kWh Before</t>
  </si>
  <si>
    <t>kWh After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</si>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</sst>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2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3D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3" borderId="0" xfId="0" applyFill="1" applyProtection="1">
      <protection locked="0"/>
    </xf>
    <xf numFmtId="0" fontId="3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3" borderId="0" xfId="0" applyFill="1"/>
    <xf numFmtId="0" fontId="6" fillId="6" borderId="3" xfId="0" applyFont="1" applyFill="1" applyBorder="1" applyProtection="1">
      <protection locked="0"/>
    </xf>
    <xf numFmtId="0" fontId="3" fillId="3" borderId="7" xfId="0" applyFont="1" applyFill="1" applyBorder="1" applyProtection="1">
      <protection locked="0"/>
    </xf>
    <xf numFmtId="0" fontId="7" fillId="3" borderId="0" xfId="0" applyFont="1" applyFill="1" applyProtection="1">
      <protection locked="0"/>
    </xf>
    <xf numFmtId="0" fontId="7" fillId="3" borderId="7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3" borderId="0" xfId="0" applyFill="1" applyAlignment="1" applyProtection="1">
      <alignment horizontal="center" wrapText="1"/>
      <protection locked="0"/>
    </xf>
    <xf numFmtId="0" fontId="3" fillId="3" borderId="0" xfId="0" applyFont="1" applyFill="1" applyAlignment="1" applyProtection="1">
      <alignment horizontal="center" wrapText="1"/>
      <protection locked="0"/>
    </xf>
    <xf numFmtId="0" fontId="9" fillId="0" borderId="0" xfId="0" applyFont="1"/>
    <xf numFmtId="0" fontId="3" fillId="3" borderId="0" xfId="0" applyFont="1" applyFill="1"/>
    <xf numFmtId="3" fontId="0" fillId="5" borderId="8" xfId="0" applyNumberFormat="1" applyFill="1" applyBorder="1" applyAlignment="1" applyProtection="1">
      <alignment horizontal="center"/>
      <protection locked="0"/>
    </xf>
    <xf numFmtId="3" fontId="0" fillId="6" borderId="3" xfId="0" applyNumberFormat="1" applyFill="1" applyBorder="1" applyAlignment="1">
      <alignment horizontal="center"/>
    </xf>
    <xf numFmtId="3" fontId="8" fillId="5" borderId="3" xfId="1" applyNumberFormat="1" applyFont="1" applyFill="1" applyBorder="1" applyAlignment="1" applyProtection="1">
      <alignment horizontal="center"/>
      <protection locked="0"/>
    </xf>
    <xf numFmtId="3" fontId="0" fillId="5" borderId="3" xfId="0" applyNumberFormat="1" applyFill="1" applyBorder="1" applyAlignment="1" applyProtection="1">
      <alignment horizontal="center"/>
      <protection locked="0"/>
    </xf>
    <xf numFmtId="0" fontId="3" fillId="3" borderId="0" xfId="0" applyFont="1" applyFill="1" applyAlignment="1">
      <alignment horizontal="left"/>
    </xf>
    <xf numFmtId="3" fontId="0" fillId="6" borderId="9" xfId="0" applyNumberFormat="1" applyFill="1" applyBorder="1" applyAlignment="1">
      <alignment horizontal="center"/>
    </xf>
    <xf numFmtId="164" fontId="6" fillId="3" borderId="0" xfId="1" applyNumberFormat="1" applyFont="1" applyFill="1" applyProtection="1">
      <protection locked="0"/>
    </xf>
    <xf numFmtId="43" fontId="6" fillId="3" borderId="0" xfId="0" applyNumberFormat="1" applyFont="1" applyFill="1" applyProtection="1">
      <protection locked="0"/>
    </xf>
    <xf numFmtId="0" fontId="6" fillId="3" borderId="0" xfId="0" applyFont="1" applyFill="1" applyProtection="1">
      <protection locked="0"/>
    </xf>
    <xf numFmtId="0" fontId="6" fillId="0" borderId="0" xfId="0" applyFont="1" applyProtection="1">
      <protection locked="0"/>
    </xf>
    <xf numFmtId="2" fontId="0" fillId="6" borderId="3" xfId="2" applyNumberFormat="1" applyFont="1" applyFill="1" applyBorder="1" applyAlignment="1">
      <alignment horizontal="center"/>
    </xf>
    <xf numFmtId="164" fontId="6" fillId="3" borderId="0" xfId="1" applyNumberFormat="1" applyFont="1" applyFill="1" applyAlignment="1" applyProtection="1">
      <alignment horizontal="left"/>
      <protection locked="0"/>
    </xf>
    <xf numFmtId="44" fontId="0" fillId="6" borderId="3" xfId="2" applyFont="1" applyFill="1" applyBorder="1" applyAlignment="1">
      <alignment horizontal="center"/>
    </xf>
    <xf numFmtId="0" fontId="6" fillId="6" borderId="0" xfId="0" applyFont="1" applyFill="1" applyProtection="1">
      <protection locked="0"/>
    </xf>
    <xf numFmtId="165" fontId="0" fillId="6" borderId="3" xfId="2" applyNumberFormat="1" applyFont="1" applyFill="1" applyBorder="1" applyAlignment="1">
      <alignment horizontal="center"/>
    </xf>
    <xf numFmtId="165" fontId="6" fillId="5" borderId="0" xfId="2" applyNumberFormat="1" applyFont="1" applyFill="1" applyProtection="1">
      <protection locked="0"/>
    </xf>
    <xf numFmtId="43" fontId="6" fillId="5" borderId="0" xfId="0" applyNumberFormat="1" applyFont="1" applyFill="1" applyProtection="1">
      <protection locked="0"/>
    </xf>
    <xf numFmtId="0" fontId="6" fillId="5" borderId="3" xfId="0" applyFont="1" applyFill="1" applyBorder="1" applyProtection="1">
      <protection locked="0"/>
    </xf>
    <xf numFmtId="9" fontId="5" fillId="5" borderId="5" xfId="0" applyNumberFormat="1" applyFont="1" applyFill="1" applyBorder="1" applyAlignment="1" applyProtection="1">
      <alignment horizontal="left"/>
      <protection locked="0"/>
    </xf>
    <xf numFmtId="9" fontId="5" fillId="5" borderId="6" xfId="0" applyNumberFormat="1" applyFont="1" applyFill="1" applyBorder="1" applyAlignment="1" applyProtection="1">
      <alignment horizontal="left"/>
      <protection locked="0"/>
    </xf>
    <xf numFmtId="0" fontId="5" fillId="5" borderId="1" xfId="0" applyFont="1" applyFill="1" applyBorder="1" applyAlignment="1" applyProtection="1">
      <alignment horizontal="left"/>
      <protection locked="0"/>
    </xf>
    <xf numFmtId="0" fontId="5" fillId="5" borderId="2" xfId="0" applyFont="1" applyFill="1" applyBorder="1" applyAlignment="1" applyProtection="1">
      <alignment horizontal="left"/>
      <protection locked="0"/>
    </xf>
    <xf numFmtId="0" fontId="5" fillId="5" borderId="4" xfId="0" applyFont="1" applyFill="1" applyBorder="1" applyAlignment="1" applyProtection="1">
      <alignment horizontal="left"/>
      <protection locked="0"/>
    </xf>
    <xf numFmtId="165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DD67-0CDE-4523-B500-F389CFCF6900}">
  <dimension ref="A1:D45"/>
  <sheetViews>
    <sheetView tabSelected="1" topLeftCell="A10" workbookViewId="0">
      <selection activeCell="B47" sqref="B47"/>
    </sheetView>
  </sheetViews>
  <sheetFormatPr defaultRowHeight="14.4" x14ac:dyDescent="0.3"/>
  <cols>
    <col min="1" max="1" width="44.5546875" bestFit="1" customWidth="1"/>
    <col min="2" max="2" width="13.109375" bestFit="1" customWidth="1"/>
    <col min="3" max="3" width="14.5546875" bestFit="1" customWidth="1"/>
    <col min="4" max="4" width="74.44140625" bestFit="1" customWidth="1"/>
  </cols>
  <sheetData>
    <row r="1" spans="1:4" x14ac:dyDescent="0.3">
      <c r="A1" s="1" t="s">
        <v>0</v>
      </c>
      <c r="B1" s="1"/>
      <c r="C1" s="1"/>
      <c r="D1" s="1"/>
    </row>
    <row r="2" spans="1:4" x14ac:dyDescent="0.3">
      <c r="A2" s="2"/>
      <c r="B2" s="2"/>
      <c r="C2" s="2"/>
      <c r="D2" s="2"/>
    </row>
    <row r="3" spans="1:4" x14ac:dyDescent="0.3">
      <c r="A3" s="3" t="s">
        <v>1</v>
      </c>
      <c r="B3" s="4"/>
      <c r="C3" s="4"/>
      <c r="D3" s="4"/>
    </row>
    <row r="4" spans="1:4" x14ac:dyDescent="0.3">
      <c r="A4" s="5"/>
      <c r="B4" s="6"/>
      <c r="C4" s="6"/>
      <c r="D4" s="6"/>
    </row>
    <row r="5" spans="1:4" x14ac:dyDescent="0.3">
      <c r="A5" s="7" t="s">
        <v>2</v>
      </c>
      <c r="B5" s="37" t="s">
        <v>3</v>
      </c>
      <c r="C5" s="38"/>
      <c r="D5" s="8" t="s">
        <v>4</v>
      </c>
    </row>
    <row r="6" spans="1:4" x14ac:dyDescent="0.3">
      <c r="A6" s="7" t="s">
        <v>5</v>
      </c>
      <c r="B6" s="37" t="s">
        <v>6</v>
      </c>
      <c r="C6" s="38"/>
      <c r="D6" s="8"/>
    </row>
    <row r="7" spans="1:4" x14ac:dyDescent="0.3">
      <c r="A7" s="7" t="s">
        <v>7</v>
      </c>
      <c r="B7" s="37">
        <v>2025</v>
      </c>
      <c r="C7" s="39"/>
      <c r="D7" s="8"/>
    </row>
    <row r="8" spans="1:4" x14ac:dyDescent="0.3">
      <c r="A8" s="7" t="s">
        <v>8</v>
      </c>
      <c r="B8" s="37">
        <v>2024</v>
      </c>
      <c r="C8" s="39"/>
      <c r="D8" s="8"/>
    </row>
    <row r="9" spans="1:4" x14ac:dyDescent="0.3">
      <c r="A9" s="7" t="s">
        <v>9</v>
      </c>
      <c r="B9" s="37">
        <v>2025</v>
      </c>
      <c r="C9" s="39"/>
      <c r="D9" s="8"/>
    </row>
    <row r="10" spans="1:4" x14ac:dyDescent="0.3">
      <c r="A10" s="7" t="s">
        <v>10</v>
      </c>
      <c r="B10" s="35">
        <v>1</v>
      </c>
      <c r="C10" s="36"/>
      <c r="D10" s="8"/>
    </row>
    <row r="11" spans="1:4" x14ac:dyDescent="0.3">
      <c r="A11" s="12"/>
      <c r="B11" s="2"/>
      <c r="C11" s="2"/>
      <c r="D11" s="2"/>
    </row>
    <row r="12" spans="1:4" ht="28.8" x14ac:dyDescent="0.3">
      <c r="A12" s="13"/>
      <c r="B12" s="14" t="s">
        <v>15</v>
      </c>
      <c r="C12" s="13"/>
      <c r="D12" s="13"/>
    </row>
    <row r="13" spans="1:4" x14ac:dyDescent="0.3">
      <c r="A13" s="15" t="s">
        <v>16</v>
      </c>
      <c r="B13" s="9" t="s">
        <v>11</v>
      </c>
      <c r="C13" s="11"/>
      <c r="D13" s="2"/>
    </row>
    <row r="14" spans="1:4" x14ac:dyDescent="0.3">
      <c r="A14" s="16" t="s">
        <v>17</v>
      </c>
      <c r="B14" s="17">
        <v>1437.5</v>
      </c>
      <c r="C14" s="10" t="s">
        <v>12</v>
      </c>
      <c r="D14" s="8" t="s">
        <v>18</v>
      </c>
    </row>
    <row r="15" spans="1:4" x14ac:dyDescent="0.3">
      <c r="A15" s="16" t="s">
        <v>19</v>
      </c>
      <c r="B15" s="19">
        <v>1250</v>
      </c>
      <c r="C15" s="10" t="s">
        <v>12</v>
      </c>
      <c r="D15" s="8"/>
    </row>
    <row r="16" spans="1:4" x14ac:dyDescent="0.3">
      <c r="A16" s="16" t="s">
        <v>20</v>
      </c>
      <c r="B16" s="20">
        <v>1125</v>
      </c>
      <c r="C16" s="10" t="s">
        <v>12</v>
      </c>
      <c r="D16" s="8"/>
    </row>
    <row r="17" spans="1:4" x14ac:dyDescent="0.3">
      <c r="A17" s="16"/>
      <c r="B17" s="2"/>
      <c r="C17" s="10"/>
      <c r="D17" s="2"/>
    </row>
    <row r="18" spans="1:4" x14ac:dyDescent="0.3">
      <c r="A18" s="16"/>
      <c r="B18" s="9" t="s">
        <v>11</v>
      </c>
      <c r="C18" s="11"/>
      <c r="D18" s="2"/>
    </row>
    <row r="19" spans="1:4" x14ac:dyDescent="0.3">
      <c r="A19" s="21" t="s">
        <v>21</v>
      </c>
      <c r="B19" s="22">
        <v>3574406.5013375003</v>
      </c>
      <c r="C19" s="10" t="s">
        <v>14</v>
      </c>
      <c r="D19" s="8"/>
    </row>
    <row r="20" spans="1:4" x14ac:dyDescent="0.3">
      <c r="A20" s="21" t="s">
        <v>22</v>
      </c>
      <c r="B20" s="18">
        <v>2859.5252010700001</v>
      </c>
      <c r="C20" s="10" t="s">
        <v>23</v>
      </c>
      <c r="D20" s="8"/>
    </row>
    <row r="21" spans="1:4" x14ac:dyDescent="0.3">
      <c r="A21" s="23"/>
      <c r="B21" s="24"/>
      <c r="C21" s="25"/>
      <c r="D21" s="25"/>
    </row>
    <row r="22" spans="1:4" x14ac:dyDescent="0.3">
      <c r="A22" s="3" t="s">
        <v>24</v>
      </c>
      <c r="B22" s="23"/>
      <c r="C22" s="24"/>
      <c r="D22" s="25"/>
    </row>
    <row r="23" spans="1:4" x14ac:dyDescent="0.3">
      <c r="A23" s="23"/>
      <c r="B23" s="23"/>
      <c r="C23" s="26"/>
      <c r="D23" s="25"/>
    </row>
    <row r="24" spans="1:4" x14ac:dyDescent="0.3">
      <c r="A24" s="23" t="s">
        <v>25</v>
      </c>
      <c r="B24" s="27">
        <v>0.8</v>
      </c>
      <c r="C24" s="24" t="s">
        <v>26</v>
      </c>
      <c r="D24" s="8" t="s">
        <v>38</v>
      </c>
    </row>
    <row r="25" spans="1:4" x14ac:dyDescent="0.3">
      <c r="A25" s="23" t="s">
        <v>27</v>
      </c>
      <c r="B25" s="27">
        <v>0.28000000000000003</v>
      </c>
      <c r="C25" s="24" t="s">
        <v>26</v>
      </c>
      <c r="D25" s="8" t="s">
        <v>28</v>
      </c>
    </row>
    <row r="26" spans="1:4" x14ac:dyDescent="0.3">
      <c r="A26" s="23" t="s">
        <v>29</v>
      </c>
      <c r="B26" s="18">
        <v>1250</v>
      </c>
      <c r="C26" s="24" t="s">
        <v>40</v>
      </c>
      <c r="D26" s="8" t="s">
        <v>39</v>
      </c>
    </row>
    <row r="27" spans="1:4" x14ac:dyDescent="0.3">
      <c r="A27" s="23" t="s">
        <v>13</v>
      </c>
      <c r="B27" s="18">
        <v>3574406.5013375003</v>
      </c>
      <c r="C27" s="24" t="s">
        <v>41</v>
      </c>
      <c r="D27" s="8" t="s">
        <v>39</v>
      </c>
    </row>
    <row r="28" spans="1:4" x14ac:dyDescent="0.3">
      <c r="A28" s="24"/>
      <c r="B28" s="24"/>
      <c r="C28" s="24"/>
      <c r="D28" s="25"/>
    </row>
    <row r="29" spans="1:4" x14ac:dyDescent="0.3">
      <c r="A29" s="23" t="s">
        <v>43</v>
      </c>
      <c r="B29" s="18">
        <f>B26*(B24-B25)</f>
        <v>650</v>
      </c>
      <c r="C29" s="24" t="s">
        <v>45</v>
      </c>
      <c r="D29" s="8" t="s">
        <v>39</v>
      </c>
    </row>
    <row r="30" spans="1:4" x14ac:dyDescent="0.3">
      <c r="A30" s="23" t="s">
        <v>44</v>
      </c>
      <c r="B30" s="18">
        <v>3574406.5013375003</v>
      </c>
      <c r="C30" s="24" t="s">
        <v>41</v>
      </c>
      <c r="D30" s="8" t="s">
        <v>39</v>
      </c>
    </row>
    <row r="31" spans="1:4" x14ac:dyDescent="0.3">
      <c r="A31" s="24"/>
      <c r="B31" s="24"/>
      <c r="C31" s="24"/>
      <c r="D31" s="25"/>
    </row>
    <row r="32" spans="1:4" x14ac:dyDescent="0.3">
      <c r="A32" s="24" t="s">
        <v>47</v>
      </c>
      <c r="B32" s="18">
        <f>B30*B24</f>
        <v>2859525.2010700004</v>
      </c>
      <c r="C32" s="24" t="s">
        <v>49</v>
      </c>
      <c r="D32" s="25"/>
    </row>
    <row r="33" spans="1:4" x14ac:dyDescent="0.3">
      <c r="A33" s="24" t="s">
        <v>48</v>
      </c>
      <c r="B33" s="18">
        <f>B30*B25</f>
        <v>1000833.8203745001</v>
      </c>
      <c r="C33" s="24" t="s">
        <v>49</v>
      </c>
      <c r="D33" s="25"/>
    </row>
    <row r="34" spans="1:4" x14ac:dyDescent="0.3">
      <c r="A34" s="24" t="s">
        <v>46</v>
      </c>
      <c r="B34" s="18">
        <f>B32-B33</f>
        <v>1858691.3806955004</v>
      </c>
      <c r="C34" s="24" t="s">
        <v>49</v>
      </c>
      <c r="D34" s="25"/>
    </row>
    <row r="35" spans="1:4" x14ac:dyDescent="0.3">
      <c r="A35" s="24"/>
      <c r="B35" s="24"/>
      <c r="C35" s="24"/>
      <c r="D35" s="25"/>
    </row>
    <row r="36" spans="1:4" x14ac:dyDescent="0.3">
      <c r="A36" s="28" t="s">
        <v>30</v>
      </c>
      <c r="B36" s="29">
        <v>1200</v>
      </c>
      <c r="C36" s="24" t="s">
        <v>31</v>
      </c>
      <c r="D36" s="8" t="s">
        <v>32</v>
      </c>
    </row>
    <row r="37" spans="1:4" x14ac:dyDescent="0.3">
      <c r="A37" s="28" t="s">
        <v>33</v>
      </c>
      <c r="B37" s="29">
        <v>0.13</v>
      </c>
      <c r="C37" s="24" t="s">
        <v>34</v>
      </c>
      <c r="D37" s="30" t="s">
        <v>32</v>
      </c>
    </row>
    <row r="38" spans="1:4" x14ac:dyDescent="0.3">
      <c r="A38" s="23"/>
      <c r="B38" s="23"/>
      <c r="C38" s="24"/>
      <c r="D38" s="25"/>
    </row>
    <row r="39" spans="1:4" x14ac:dyDescent="0.3">
      <c r="A39" s="23" t="s">
        <v>35</v>
      </c>
      <c r="B39" s="31">
        <f>B29*B36</f>
        <v>780000</v>
      </c>
      <c r="C39" s="24" t="s">
        <v>42</v>
      </c>
      <c r="D39" s="8"/>
    </row>
    <row r="40" spans="1:4" x14ac:dyDescent="0.3">
      <c r="A40" s="23" t="s">
        <v>36</v>
      </c>
      <c r="B40" s="31">
        <f>B34*B37</f>
        <v>241629.87949041507</v>
      </c>
      <c r="C40" s="24" t="s">
        <v>42</v>
      </c>
      <c r="D40" s="8"/>
    </row>
    <row r="41" spans="1:4" x14ac:dyDescent="0.3">
      <c r="A41" s="23"/>
      <c r="B41" s="23"/>
      <c r="C41" s="24"/>
      <c r="D41" s="25"/>
    </row>
    <row r="42" spans="1:4" x14ac:dyDescent="0.3">
      <c r="A42" s="23" t="s">
        <v>37</v>
      </c>
      <c r="B42" s="32">
        <f>MAX(B39:B40)</f>
        <v>780000</v>
      </c>
      <c r="C42" s="33" t="s">
        <v>42</v>
      </c>
      <c r="D42" s="34"/>
    </row>
    <row r="43" spans="1:4" x14ac:dyDescent="0.3">
      <c r="A43" s="23"/>
      <c r="B43" s="23"/>
      <c r="C43" s="24"/>
      <c r="D43" s="25"/>
    </row>
    <row r="45" spans="1:4" x14ac:dyDescent="0.3">
      <c r="B45" s="40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9490aa7-cca2-49a8-a289-e6026a72f00c">
      <Terms xmlns="http://schemas.microsoft.com/office/infopath/2007/PartnerControls"/>
    </lcf76f155ced4ddcb4097134ff3c332f>
    <TaxCatchAll xmlns="47931d14-0500-4568-b9ed-972e6f6125ad" xsi:nil="true"/>
    <_dlc_DocId xmlns="47931d14-0500-4568-b9ed-972e6f6125ad">KVHKYFWHUMWC-457836332-196141</_dlc_DocId>
    <_dlc_DocIdUrl xmlns="47931d14-0500-4568-b9ed-972e6f6125ad">
      <Url>https://enwaveenergycorp.sharepoint.com/sites/CapitalProjects/_layouts/15/DocIdRedir.aspx?ID=KVHKYFWHUMWC-457836332-196141</Url>
      <Description>KVHKYFWHUMWC-457836332-196141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FF31DF68F4114EA38F514E10B7D439" ma:contentTypeVersion="19" ma:contentTypeDescription="Create a new document." ma:contentTypeScope="" ma:versionID="3a7d2c906ddcfd4e7321e94693e6dc3c">
  <xsd:schema xmlns:xsd="http://www.w3.org/2001/XMLSchema" xmlns:xs="http://www.w3.org/2001/XMLSchema" xmlns:p="http://schemas.microsoft.com/office/2006/metadata/properties" xmlns:ns1="http://schemas.microsoft.com/sharepoint/v3" xmlns:ns2="47931d14-0500-4568-b9ed-972e6f6125ad" xmlns:ns3="89490aa7-cca2-49a8-a289-e6026a72f00c" targetNamespace="http://schemas.microsoft.com/office/2006/metadata/properties" ma:root="true" ma:fieldsID="f9970e47638921c7bf1d49a575df1584" ns1:_="" ns2:_="" ns3:_="">
    <xsd:import namespace="http://schemas.microsoft.com/sharepoint/v3"/>
    <xsd:import namespace="47931d14-0500-4568-b9ed-972e6f6125ad"/>
    <xsd:import namespace="89490aa7-cca2-49a8-a289-e6026a72f00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931d14-0500-4568-b9ed-972e6f6125a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afa32338-6fa8-4c26-9126-c4c11610baf4}" ma:internalName="TaxCatchAll" ma:showField="CatchAllData" ma:web="47931d14-0500-4568-b9ed-972e6f612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90aa7-cca2-49a8-a289-e6026a72f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9cbd4fbd-9596-4144-81b2-461765fc7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81B0EAD-723B-48F5-AB92-295B7FEC7C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67B640-B978-4B46-BC80-93B2DAF4163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9490aa7-cca2-49a8-a289-e6026a72f00c"/>
    <ds:schemaRef ds:uri="47931d14-0500-4568-b9ed-972e6f6125ad"/>
  </ds:schemaRefs>
</ds:datastoreItem>
</file>

<file path=customXml/itemProps3.xml><?xml version="1.0" encoding="utf-8"?>
<ds:datastoreItem xmlns:ds="http://schemas.openxmlformats.org/officeDocument/2006/customXml" ds:itemID="{7CD1A420-8CF6-4190-8BBE-724BB798C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7931d14-0500-4568-b9ed-972e6f6125ad"/>
    <ds:schemaRef ds:uri="89490aa7-cca2-49a8-a289-e6026a72f0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A5136FE-204B-4143-8374-D94A7468118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Wilson</dc:creator>
  <cp:lastModifiedBy>Rashmi Brackenbury</cp:lastModifiedBy>
  <dcterms:created xsi:type="dcterms:W3CDTF">2023-10-13T16:02:53Z</dcterms:created>
  <dcterms:modified xsi:type="dcterms:W3CDTF">2023-10-24T13:31:37Z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0x01010015FF31DF68F4114EA38F514E10B7D439</vt:lpwstr>
  </property>
  <property fmtid="{D5CDD505-2E9C-101B-9397-08002B2CF9AE}" pid="3" name="_dlc_DocIdItemGuid">
    <vt:lpwstr>7c8cc1d6-ac72-470b-8bf7-517d46ba2393</vt:lpwstr>
  </property>
</Properties>
</file>